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ko\Documents\Visual Studio 2022\Portfolio-Tracker\MauiApp1.Test\"/>
    </mc:Choice>
  </mc:AlternateContent>
  <xr:revisionPtr revIDLastSave="0" documentId="13_ncr:1_{745EC3BB-C216-443D-AF78-EAC8381A41C6}" xr6:coauthVersionLast="47" xr6:coauthVersionMax="47" xr10:uidLastSave="{00000000-0000-0000-0000-000000000000}"/>
  <bookViews>
    <workbookView xWindow="2010" yWindow="3330" windowWidth="21600" windowHeight="11295" firstSheet="1" activeTab="3" xr2:uid="{D0F3F6B9-96A1-438E-B47A-37E3DCA5E30A}"/>
  </bookViews>
  <sheets>
    <sheet name="CLOSED POSITION HISTORY" sheetId="1" r:id="rId1"/>
    <sheet name="OPEN POSITION " sheetId="2" r:id="rId2"/>
    <sheet name="PENDING ORDERS HISTORY" sheetId="3" r:id="rId3"/>
    <sheet name="CASH OPERATION HISTO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8" i="4" l="1"/>
  <c r="L15" i="4"/>
  <c r="P7" i="2"/>
  <c r="L12" i="4"/>
  <c r="T15" i="2"/>
  <c r="T20" i="1"/>
  <c r="T21" i="1"/>
  <c r="T19" i="1"/>
  <c r="M20" i="1"/>
  <c r="M21" i="1"/>
  <c r="M19" i="1"/>
  <c r="L20" i="1"/>
  <c r="L21" i="1"/>
  <c r="L22" i="1"/>
  <c r="L19" i="1"/>
  <c r="T25" i="1" l="1"/>
</calcChain>
</file>

<file path=xl/sharedStrings.xml><?xml version="1.0" encoding="utf-8"?>
<sst xmlns="http://schemas.openxmlformats.org/spreadsheetml/2006/main" count="226" uniqueCount="78">
  <si>
    <t/>
  </si>
  <si>
    <t>Balance</t>
  </si>
  <si>
    <t>Margin</t>
  </si>
  <si>
    <r>
      <rPr>
        <b/>
        <sz val="24"/>
        <color rgb="FF000000"/>
        <rFont val="Segoe UI"/>
      </rPr>
      <t xml:space="preserve">CLOSED POSITION </t>
    </r>
    <r>
      <rPr>
        <sz val="24"/>
        <color rgb="FF000000"/>
        <rFont val="Segoe UI"/>
      </rPr>
      <t xml:space="preserve">HISTORY </t>
    </r>
  </si>
  <si>
    <t>01/01/2006 - 08/10/2025</t>
  </si>
  <si>
    <t>Position</t>
  </si>
  <si>
    <t>Symbol</t>
  </si>
  <si>
    <t>Type</t>
  </si>
  <si>
    <t>Volume</t>
  </si>
  <si>
    <t>Open time</t>
  </si>
  <si>
    <t>Open price</t>
  </si>
  <si>
    <t>Close time</t>
  </si>
  <si>
    <t>Close price</t>
  </si>
  <si>
    <t>Open origin</t>
  </si>
  <si>
    <t>Close origin</t>
  </si>
  <si>
    <t>Purchase value</t>
  </si>
  <si>
    <t>Sale value</t>
  </si>
  <si>
    <t>SL</t>
  </si>
  <si>
    <t>TP</t>
  </si>
  <si>
    <t>Commission</t>
  </si>
  <si>
    <t>Swap</t>
  </si>
  <si>
    <t>Rollover</t>
  </si>
  <si>
    <t>Gross P/L</t>
  </si>
  <si>
    <t>Comment</t>
  </si>
  <si>
    <t>ACP.PL</t>
  </si>
  <si>
    <t>BUY</t>
  </si>
  <si>
    <t>xStation Mobile Android</t>
  </si>
  <si>
    <t>ETFBW20LV.PL</t>
  </si>
  <si>
    <t>ETFBNDXPL.PL</t>
  </si>
  <si>
    <t>ETFBSPXPL.PL</t>
  </si>
  <si>
    <t>Total</t>
  </si>
  <si>
    <t>GPW.PL</t>
  </si>
  <si>
    <t>PKN.PL</t>
  </si>
  <si>
    <t>XTB.PL</t>
  </si>
  <si>
    <t>CDR.PL</t>
  </si>
  <si>
    <t>ID</t>
  </si>
  <si>
    <t>Time</t>
  </si>
  <si>
    <t>Amount</t>
  </si>
  <si>
    <t>deposit</t>
  </si>
  <si>
    <t>Wpłata środków własnych</t>
  </si>
  <si>
    <t>–</t>
  </si>
  <si>
    <t>IKE_Deposit</t>
  </si>
  <si>
    <t>Wpłata na konto IKE</t>
  </si>
  <si>
    <t>Stock_purchase</t>
  </si>
  <si>
    <t>Zakup akcji CD Projekt</t>
  </si>
  <si>
    <t>CDR</t>
  </si>
  <si>
    <t>Zakup akcji PKO BP</t>
  </si>
  <si>
    <t>PKO</t>
  </si>
  <si>
    <t>DIVIDENT</t>
  </si>
  <si>
    <t>Dywidenda z PKO BP</t>
  </si>
  <si>
    <t>Withholding_Tax</t>
  </si>
  <si>
    <t>Podatek od dywidendy</t>
  </si>
  <si>
    <t>Free_funds_Interest</t>
  </si>
  <si>
    <t>Odsetki od wolnych środków</t>
  </si>
  <si>
    <t>Free_funds_Interest_Tax</t>
  </si>
  <si>
    <t>Podatek od odsetek</t>
  </si>
  <si>
    <t>Stock_sale</t>
  </si>
  <si>
    <t>Sprzedaż akcji CD Projekt</t>
  </si>
  <si>
    <t>close_trade</t>
  </si>
  <si>
    <t>Zysk z pozycji CDR</t>
  </si>
  <si>
    <t>Subaccount_Transfer</t>
  </si>
  <si>
    <t>Przeniesienie środków między rachunkami</t>
  </si>
  <si>
    <t>Odbiór środków z innego rachunku</t>
  </si>
  <si>
    <t>tax_IFTT</t>
  </si>
  <si>
    <t>Podatek IFTT za sprzedaż akcji</t>
  </si>
  <si>
    <t>withdrawal</t>
  </si>
  <si>
    <t>Wypłata środków z konta</t>
  </si>
  <si>
    <t>PKO.PL</t>
  </si>
  <si>
    <t>wpłaty</t>
  </si>
  <si>
    <t>Market price</t>
  </si>
  <si>
    <t>AAPL</t>
  </si>
  <si>
    <t>USDPLN</t>
  </si>
  <si>
    <t>DAX40</t>
  </si>
  <si>
    <t>BTCUSD</t>
  </si>
  <si>
    <t>ORLEN</t>
  </si>
  <si>
    <t>EURUSD</t>
  </si>
  <si>
    <t>odesetki</t>
  </si>
  <si>
    <t>dywidenda pko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</si>
</sst>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809]dd/mm/yyyy\ hh:mm:ss"/>
    <numFmt numFmtId="165" formatCode="[$-10809]0.00;\(0.00\)"/>
    <numFmt numFmtId="166" formatCode="[$-10809]0.0000;\(0.0000\)"/>
    <numFmt numFmtId="167" formatCode="0.0000000"/>
  </numFmts>
  <fonts count="20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Segoe UI"/>
    </font>
    <font>
      <sz val="10"/>
      <color rgb="FFD3D3D3"/>
      <name val="Arial"/>
    </font>
    <font>
      <b/>
      <sz val="10"/>
      <color rgb="FFD3D3D3"/>
      <name val="Arial"/>
    </font>
    <font>
      <sz val="10"/>
      <color rgb="FFD3D3D3"/>
      <name val="Tahoma"/>
    </font>
    <font>
      <sz val="8"/>
      <color rgb="FF000000"/>
      <name val="Arial"/>
    </font>
    <font>
      <sz val="10"/>
      <color rgb="FF000000"/>
      <name val="Arial"/>
    </font>
    <font>
      <b/>
      <sz val="10"/>
      <color rgb="FFD3D3D3"/>
      <name val="Tahoma"/>
    </font>
    <font>
      <b/>
      <sz val="24"/>
      <color rgb="FF000000"/>
      <name val="Segoe UI"/>
    </font>
    <font>
      <b/>
      <sz val="9"/>
      <color rgb="FFD3D3D3"/>
      <name val="Tahoma"/>
    </font>
    <font>
      <sz val="14"/>
      <color rgb="FF000000"/>
      <name val="Arial"/>
    </font>
    <font>
      <sz val="11"/>
      <color rgb="FF000000"/>
      <name val="Arial"/>
    </font>
    <font>
      <sz val="8"/>
      <color rgb="FF000000"/>
      <name val="Tahoma"/>
    </font>
    <font>
      <b/>
      <sz val="8"/>
      <color rgb="FF000000"/>
      <name val="Tahoma"/>
    </font>
    <font>
      <b/>
      <sz val="8"/>
      <color rgb="FF5CCC81"/>
      <name val="Tahoma"/>
    </font>
    <font>
      <b/>
      <sz val="8"/>
      <color rgb="FFFF3B2E"/>
      <name val="Tahoma"/>
    </font>
    <font>
      <b/>
      <sz val="10"/>
      <color rgb="FF000000"/>
      <name val="Tahoma"/>
    </font>
    <font>
      <sz val="24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4F4"/>
        <bgColor rgb="FFF3F4F4"/>
      </patternFill>
    </fill>
  </fills>
  <borders count="2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5">
    <xf numFmtId="0" fontId="0" fillId="0" borderId="0" xfId="0"/>
    <xf numFmtId="0" fontId="2" fillId="0" borderId="0" xfId="1" applyFont="1"/>
    <xf numFmtId="0" fontId="3" fillId="0" borderId="0" xfId="2" applyFont="1" applyAlignment="1">
      <alignment horizontal="left" vertical="top" wrapText="1" readingOrder="1"/>
    </xf>
    <xf numFmtId="0" fontId="6" fillId="2" borderId="0" xfId="2" applyFont="1" applyFill="1" applyAlignment="1">
      <alignment horizontal="center" vertical="top" wrapText="1" readingOrder="1"/>
    </xf>
    <xf numFmtId="0" fontId="9" fillId="0" borderId="0" xfId="2" applyFont="1" applyAlignment="1">
      <alignment horizontal="left" vertical="top" wrapText="1" readingOrder="1"/>
    </xf>
    <xf numFmtId="0" fontId="8" fillId="0" borderId="0" xfId="2" applyFont="1" applyAlignment="1">
      <alignment vertical="top" wrapText="1" readingOrder="1"/>
    </xf>
    <xf numFmtId="0" fontId="11" fillId="2" borderId="0" xfId="2" applyFont="1" applyFill="1" applyAlignment="1">
      <alignment horizontal="center" vertical="top" wrapText="1" readingOrder="1"/>
    </xf>
    <xf numFmtId="0" fontId="11" fillId="2" borderId="0" xfId="2" applyFont="1" applyFill="1" applyAlignment="1">
      <alignment horizontal="left" vertical="top" wrapText="1" readingOrder="1"/>
    </xf>
    <xf numFmtId="0" fontId="11" fillId="2" borderId="0" xfId="2" applyFont="1" applyFill="1" applyAlignment="1">
      <alignment horizontal="right" vertical="top" wrapText="1" readingOrder="1"/>
    </xf>
    <xf numFmtId="0" fontId="14" fillId="3" borderId="1" xfId="2" applyFont="1" applyFill="1" applyBorder="1" applyAlignment="1">
      <alignment horizontal="left" vertical="top" wrapText="1" readingOrder="1"/>
    </xf>
    <xf numFmtId="0" fontId="15" fillId="3" borderId="1" xfId="2" applyFont="1" applyFill="1" applyBorder="1" applyAlignment="1">
      <alignment horizontal="left" vertical="top" wrapText="1" readingOrder="1"/>
    </xf>
    <xf numFmtId="166" fontId="14" fillId="3" borderId="1" xfId="2" applyNumberFormat="1" applyFont="1" applyFill="1" applyBorder="1" applyAlignment="1">
      <alignment horizontal="left" vertical="top" wrapText="1" readingOrder="1"/>
    </xf>
    <xf numFmtId="164" fontId="14" fillId="3" borderId="1" xfId="2" applyNumberFormat="1" applyFont="1" applyFill="1" applyBorder="1" applyAlignment="1">
      <alignment horizontal="left" vertical="top" wrapText="1" readingOrder="1"/>
    </xf>
    <xf numFmtId="165" fontId="14" fillId="3" borderId="1" xfId="2" applyNumberFormat="1" applyFont="1" applyFill="1" applyBorder="1" applyAlignment="1">
      <alignment horizontal="left" vertical="top" wrapText="1" readingOrder="1"/>
    </xf>
    <xf numFmtId="0" fontId="14" fillId="3" borderId="1" xfId="2" applyFont="1" applyFill="1" applyBorder="1" applyAlignment="1">
      <alignment horizontal="right" vertical="top" wrapText="1" readingOrder="1"/>
    </xf>
    <xf numFmtId="0" fontId="16" fillId="3" borderId="1" xfId="2" applyFont="1" applyFill="1" applyBorder="1" applyAlignment="1">
      <alignment horizontal="right" vertical="top" wrapText="1" readingOrder="1"/>
    </xf>
    <xf numFmtId="0" fontId="14" fillId="2" borderId="1" xfId="2" applyFont="1" applyFill="1" applyBorder="1" applyAlignment="1">
      <alignment horizontal="left" vertical="top" wrapText="1" readingOrder="1"/>
    </xf>
    <xf numFmtId="0" fontId="15" fillId="2" borderId="1" xfId="2" applyFont="1" applyFill="1" applyBorder="1" applyAlignment="1">
      <alignment horizontal="left" vertical="top" wrapText="1" readingOrder="1"/>
    </xf>
    <xf numFmtId="166" fontId="14" fillId="2" borderId="1" xfId="2" applyNumberFormat="1" applyFont="1" applyFill="1" applyBorder="1" applyAlignment="1">
      <alignment horizontal="left" vertical="top" wrapText="1" readingOrder="1"/>
    </xf>
    <xf numFmtId="165" fontId="14" fillId="2" borderId="1" xfId="2" applyNumberFormat="1" applyFont="1" applyFill="1" applyBorder="1" applyAlignment="1">
      <alignment horizontal="left" vertical="top" wrapText="1" readingOrder="1"/>
    </xf>
    <xf numFmtId="0" fontId="14" fillId="2" borderId="1" xfId="2" applyFont="1" applyFill="1" applyBorder="1" applyAlignment="1">
      <alignment horizontal="right" vertical="top" wrapText="1" readingOrder="1"/>
    </xf>
    <xf numFmtId="0" fontId="16" fillId="2" borderId="1" xfId="2" applyFont="1" applyFill="1" applyBorder="1" applyAlignment="1">
      <alignment horizontal="right" vertical="top" wrapText="1" readingOrder="1"/>
    </xf>
    <xf numFmtId="0" fontId="17" fillId="3" borderId="1" xfId="2" applyFont="1" applyFill="1" applyBorder="1" applyAlignment="1">
      <alignment horizontal="right" vertical="top" wrapText="1" readingOrder="1"/>
    </xf>
    <xf numFmtId="0" fontId="17" fillId="2" borderId="1" xfId="2" applyFont="1" applyFill="1" applyBorder="1" applyAlignment="1">
      <alignment horizontal="right" vertical="top" wrapText="1" readingOrder="1"/>
    </xf>
    <xf numFmtId="0" fontId="18" fillId="0" borderId="0" xfId="2" applyFont="1" applyAlignment="1">
      <alignment horizontal="left" vertical="top" wrapText="1" readingOrder="1"/>
    </xf>
    <xf numFmtId="0" fontId="18" fillId="0" borderId="0" xfId="2" applyFont="1" applyAlignment="1">
      <alignment horizontal="right" vertical="top" wrapText="1" readingOrder="1"/>
    </xf>
    <xf numFmtId="2" fontId="17" fillId="2" borderId="1" xfId="2" applyNumberFormat="1" applyFont="1" applyFill="1" applyBorder="1" applyAlignment="1">
      <alignment horizontal="right" vertical="top" wrapText="1" readingOrder="1"/>
    </xf>
    <xf numFmtId="167" fontId="18" fillId="0" borderId="0" xfId="2" applyNumberFormat="1" applyFont="1" applyAlignment="1">
      <alignment horizontal="right" vertical="top" wrapText="1" readingOrder="1"/>
    </xf>
    <xf numFmtId="166" fontId="0" fillId="0" borderId="0" xfId="0" applyNumberFormat="1"/>
    <xf numFmtId="2" fontId="14" fillId="2" borderId="1" xfId="2" applyNumberFormat="1" applyFont="1" applyFill="1" applyBorder="1" applyAlignment="1">
      <alignment horizontal="left" vertical="top" wrapText="1" readingOrder="1"/>
    </xf>
    <xf numFmtId="2" fontId="14" fillId="3" borderId="1" xfId="2" applyNumberFormat="1" applyFont="1" applyFill="1" applyBorder="1" applyAlignment="1">
      <alignment horizontal="left" vertical="top" wrapText="1" readingOrder="1"/>
    </xf>
    <xf numFmtId="22" fontId="0" fillId="0" borderId="0" xfId="0" applyNumberFormat="1"/>
    <xf numFmtId="22" fontId="14" fillId="3" borderId="1" xfId="2" applyNumberFormat="1" applyFont="1" applyFill="1" applyBorder="1" applyAlignment="1">
      <alignment horizontal="left" vertical="top" wrapText="1" readingOrder="1"/>
    </xf>
    <xf numFmtId="22" fontId="14" fillId="2" borderId="1" xfId="2" applyNumberFormat="1" applyFont="1" applyFill="1" applyBorder="1" applyAlignment="1">
      <alignment horizontal="left" vertical="top" wrapText="1" readingOrder="1"/>
    </xf>
    <xf numFmtId="0" fontId="2" fillId="0" borderId="0" xfId="1" applyFont="1"/>
    <xf numFmtId="0" fontId="4" fillId="0" borderId="0" xfId="2" applyFont="1" applyAlignment="1">
      <alignment horizontal="left" vertical="top" wrapText="1" readingOrder="1"/>
    </xf>
    <xf numFmtId="0" fontId="5" fillId="2" borderId="0" xfId="2" applyFont="1" applyFill="1" applyAlignment="1">
      <alignment horizontal="center" vertical="top" wrapText="1" readingOrder="1"/>
    </xf>
    <xf numFmtId="164" fontId="7" fillId="2" borderId="0" xfId="2" applyNumberFormat="1" applyFont="1" applyFill="1" applyAlignment="1">
      <alignment horizontal="right" vertical="top" wrapText="1" readingOrder="1"/>
    </xf>
    <xf numFmtId="0" fontId="3" fillId="0" borderId="0" xfId="2" applyFont="1" applyAlignment="1">
      <alignment horizontal="left" vertical="top" wrapText="1" readingOrder="1"/>
    </xf>
    <xf numFmtId="0" fontId="8" fillId="2" borderId="0" xfId="2" applyFont="1" applyFill="1" applyAlignment="1">
      <alignment horizontal="center" vertical="top" wrapText="1" readingOrder="1"/>
    </xf>
    <xf numFmtId="0" fontId="8" fillId="2" borderId="0" xfId="2" applyFont="1" applyFill="1" applyAlignment="1">
      <alignment horizontal="right" vertical="top" wrapText="1" readingOrder="1"/>
    </xf>
    <xf numFmtId="0" fontId="9" fillId="0" borderId="0" xfId="2" applyFont="1" applyAlignment="1">
      <alignment horizontal="left" vertical="top" wrapText="1" readingOrder="1"/>
    </xf>
    <xf numFmtId="0" fontId="9" fillId="2" borderId="0" xfId="2" applyFont="1" applyFill="1" applyAlignment="1">
      <alignment horizontal="center" vertical="top" wrapText="1" readingOrder="1"/>
    </xf>
    <xf numFmtId="0" fontId="10" fillId="0" borderId="0" xfId="2" applyFont="1" applyAlignment="1">
      <alignment horizontal="left" vertical="top" wrapText="1" readingOrder="1"/>
    </xf>
    <xf numFmtId="0" fontId="12" fillId="0" borderId="0" xfId="2" applyFont="1" applyAlignment="1">
      <alignment horizontal="left" vertical="top" wrapText="1" readingOrder="1"/>
    </xf>
    <xf numFmtId="0" fontId="11" fillId="2" borderId="0" xfId="2" applyFont="1" applyFill="1" applyAlignment="1">
      <alignment horizontal="center" vertical="top" wrapText="1" readingOrder="1"/>
    </xf>
    <xf numFmtId="0" fontId="8" fillId="0" borderId="0" xfId="2" applyFont="1" applyAlignment="1">
      <alignment horizontal="left" vertical="top" wrapText="1" readingOrder="1"/>
    </xf>
    <xf numFmtId="165" fontId="8" fillId="2" borderId="0" xfId="2" applyNumberFormat="1" applyFont="1" applyFill="1" applyAlignment="1">
      <alignment horizontal="center" vertical="top" wrapText="1" readingOrder="1"/>
    </xf>
    <xf numFmtId="0" fontId="14" fillId="3" borderId="1" xfId="2" applyFont="1" applyFill="1" applyBorder="1" applyAlignment="1">
      <alignment horizontal="left" vertical="top" wrapText="1" readingOrder="1"/>
    </xf>
    <xf numFmtId="0" fontId="2" fillId="0" borderId="1" xfId="2" applyFont="1" applyBorder="1" applyAlignment="1">
      <alignment vertical="top" wrapText="1"/>
    </xf>
    <xf numFmtId="0" fontId="14" fillId="2" borderId="1" xfId="2" applyFont="1" applyFill="1" applyBorder="1" applyAlignment="1">
      <alignment horizontal="left" vertical="top" wrapText="1" readingOrder="1"/>
    </xf>
    <xf numFmtId="0" fontId="18" fillId="0" borderId="0" xfId="2" applyFont="1" applyAlignment="1">
      <alignment horizontal="left" vertical="top" wrapText="1" readingOrder="1"/>
    </xf>
    <xf numFmtId="0" fontId="13" fillId="0" borderId="0" xfId="2" applyFont="1" applyAlignment="1">
      <alignment horizontal="left" vertical="top" wrapText="1" readingOrder="1"/>
    </xf>
    <xf numFmtId="0" fontId="11" fillId="2" borderId="0" xfId="2" applyFont="1" applyFill="1" applyAlignment="1">
      <alignment horizontal="left" vertical="top" wrapText="1" readingOrder="1"/>
    </xf>
    <xf numFmtId="2" fontId="0" fillId="0" borderId="0" xfId="0" applyNumberFormat="1"/>
  </cellXfs>
  <cellStyles count="3">
    <cellStyle name="Normal" xfId="2" xr:uid="{39118CEE-EDEF-4B02-8910-E74BADD89802}"/>
    <cellStyle name="Normalny" xfId="0" builtinId="0"/>
    <cellStyle name="Normalny 2" xfId="1" xr:uid="{DF964170-A539-42D8-AF41-5D6A21B67C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301E8-BC63-42E0-A8C1-BB83FFEFFDDD}">
  <dimension ref="B1:X25"/>
  <sheetViews>
    <sheetView topLeftCell="B7" workbookViewId="0">
      <selection activeCell="F14" sqref="F14"/>
    </sheetView>
  </sheetViews>
  <sheetFormatPr defaultRowHeight="15" x14ac:dyDescent="0.25"/>
  <cols>
    <col min="2" max="2" width="9.5703125" bestFit="1" customWidth="1"/>
    <col min="6" max="6" width="15.85546875" bestFit="1" customWidth="1"/>
    <col min="7" max="7" width="47.5703125" customWidth="1"/>
    <col min="8" max="8" width="15.85546875" bestFit="1" customWidth="1"/>
    <col min="20" max="20" width="14" bestFit="1" customWidth="1"/>
  </cols>
  <sheetData>
    <row r="1" spans="2:24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4"/>
      <c r="W1" s="1"/>
      <c r="X1" s="1"/>
    </row>
    <row r="2" spans="2:24" x14ac:dyDescent="0.25">
      <c r="B2" s="3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4"/>
      <c r="W2" s="1"/>
      <c r="X2" s="1"/>
    </row>
    <row r="3" spans="2:24" x14ac:dyDescent="0.25">
      <c r="B3" s="3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2:24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2:24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2:24" x14ac:dyDescent="0.25">
      <c r="B6" s="2" t="s">
        <v>0</v>
      </c>
      <c r="C6" s="2" t="s">
        <v>0</v>
      </c>
      <c r="D6" s="2" t="s">
        <v>0</v>
      </c>
      <c r="E6" s="2" t="s">
        <v>0</v>
      </c>
      <c r="F6" s="35"/>
      <c r="G6" s="34"/>
      <c r="H6" s="34"/>
      <c r="I6" s="36"/>
      <c r="J6" s="34"/>
      <c r="K6" s="34"/>
      <c r="L6" s="36"/>
      <c r="M6" s="34"/>
      <c r="N6" s="34"/>
      <c r="O6" s="3"/>
      <c r="P6" s="3"/>
      <c r="Q6" s="3"/>
      <c r="R6" s="3"/>
      <c r="S6" s="3"/>
      <c r="T6" s="3"/>
      <c r="U6" s="37"/>
      <c r="V6" s="34"/>
      <c r="W6" s="34"/>
      <c r="X6" s="1"/>
    </row>
    <row r="7" spans="2:24" x14ac:dyDescent="0.25">
      <c r="B7" s="2" t="s">
        <v>0</v>
      </c>
      <c r="C7" s="2" t="s">
        <v>0</v>
      </c>
      <c r="D7" s="2" t="s">
        <v>0</v>
      </c>
      <c r="E7" s="2" t="s">
        <v>0</v>
      </c>
      <c r="F7" s="38"/>
      <c r="G7" s="34"/>
      <c r="H7" s="34"/>
      <c r="I7" s="39"/>
      <c r="J7" s="34"/>
      <c r="K7" s="34"/>
      <c r="L7" s="39"/>
      <c r="M7" s="34"/>
      <c r="N7" s="34"/>
      <c r="O7" s="3"/>
      <c r="P7" s="3"/>
      <c r="Q7" s="3"/>
      <c r="R7" s="3"/>
      <c r="S7" s="3"/>
      <c r="T7" s="3"/>
      <c r="U7" s="40"/>
      <c r="V7" s="34"/>
      <c r="W7" s="34"/>
      <c r="X7" s="1"/>
    </row>
    <row r="8" spans="2:24" x14ac:dyDescent="0.25">
      <c r="B8" s="2" t="s">
        <v>0</v>
      </c>
      <c r="C8" s="2" t="s">
        <v>0</v>
      </c>
      <c r="D8" s="2" t="s">
        <v>0</v>
      </c>
      <c r="E8" s="2" t="s">
        <v>0</v>
      </c>
      <c r="F8" s="41"/>
      <c r="G8" s="34"/>
      <c r="H8" s="34"/>
      <c r="I8" s="42"/>
      <c r="J8" s="34"/>
      <c r="K8" s="34"/>
      <c r="L8" s="42"/>
      <c r="M8" s="34"/>
      <c r="N8" s="34"/>
      <c r="O8" s="42"/>
      <c r="P8" s="34"/>
      <c r="Q8" s="34"/>
      <c r="R8" s="42"/>
      <c r="S8" s="34"/>
      <c r="T8" s="34"/>
      <c r="U8" s="40"/>
      <c r="V8" s="34"/>
      <c r="W8" s="34"/>
      <c r="X8" s="1"/>
    </row>
    <row r="9" spans="2:24" x14ac:dyDescent="0.25">
      <c r="B9" s="2" t="s">
        <v>0</v>
      </c>
      <c r="C9" s="2" t="s">
        <v>0</v>
      </c>
      <c r="D9" s="2" t="s">
        <v>0</v>
      </c>
      <c r="E9" s="2" t="s">
        <v>0</v>
      </c>
      <c r="F9" s="46"/>
      <c r="G9" s="34"/>
      <c r="H9" s="34"/>
      <c r="I9" s="39"/>
      <c r="J9" s="34"/>
      <c r="K9" s="34"/>
      <c r="L9" s="39"/>
      <c r="M9" s="34"/>
      <c r="N9" s="34"/>
      <c r="O9" s="39"/>
      <c r="P9" s="34"/>
      <c r="Q9" s="34"/>
      <c r="R9" s="47"/>
      <c r="S9" s="34"/>
      <c r="T9" s="34"/>
      <c r="U9" s="40"/>
      <c r="V9" s="34"/>
      <c r="W9" s="34"/>
      <c r="X9" s="1"/>
    </row>
    <row r="10" spans="2:24" ht="66" customHeight="1" x14ac:dyDescent="0.25">
      <c r="B10" s="43" t="s">
        <v>3</v>
      </c>
      <c r="C10" s="34"/>
      <c r="D10" s="34"/>
      <c r="E10" s="34"/>
      <c r="F10" s="34"/>
      <c r="G10" s="34"/>
      <c r="H10" s="5" t="s">
        <v>0</v>
      </c>
      <c r="I10" s="6" t="s">
        <v>0</v>
      </c>
      <c r="J10" s="6" t="s">
        <v>0</v>
      </c>
      <c r="K10" s="6" t="s">
        <v>0</v>
      </c>
      <c r="L10" s="6" t="s">
        <v>0</v>
      </c>
      <c r="M10" s="6" t="s">
        <v>0</v>
      </c>
      <c r="N10" s="6" t="s">
        <v>0</v>
      </c>
      <c r="O10" s="6" t="s">
        <v>0</v>
      </c>
      <c r="P10" s="6" t="s">
        <v>0</v>
      </c>
      <c r="Q10" s="6" t="s">
        <v>0</v>
      </c>
      <c r="R10" s="6" t="s">
        <v>0</v>
      </c>
      <c r="S10" s="6" t="s">
        <v>0</v>
      </c>
      <c r="T10" s="6" t="s">
        <v>0</v>
      </c>
      <c r="U10" s="34"/>
      <c r="V10" s="34"/>
      <c r="W10" s="34"/>
      <c r="X10" s="34"/>
    </row>
    <row r="11" spans="2:24" ht="33.75" customHeight="1" x14ac:dyDescent="0.25">
      <c r="B11" s="44" t="s">
        <v>4</v>
      </c>
      <c r="C11" s="34"/>
      <c r="D11" s="34"/>
      <c r="E11" s="34"/>
      <c r="F11" s="6" t="s">
        <v>0</v>
      </c>
      <c r="G11" s="6" t="s">
        <v>0</v>
      </c>
      <c r="H11" s="6" t="s">
        <v>0</v>
      </c>
      <c r="I11" s="6" t="s">
        <v>0</v>
      </c>
      <c r="J11" s="6" t="s">
        <v>0</v>
      </c>
      <c r="K11" s="6" t="s">
        <v>0</v>
      </c>
      <c r="L11" s="6" t="s">
        <v>0</v>
      </c>
      <c r="M11" s="6" t="s">
        <v>0</v>
      </c>
      <c r="N11" s="6" t="s">
        <v>0</v>
      </c>
      <c r="O11" s="6" t="s">
        <v>0</v>
      </c>
      <c r="P11" s="6" t="s">
        <v>0</v>
      </c>
      <c r="Q11" s="6" t="s">
        <v>0</v>
      </c>
      <c r="R11" s="6" t="s">
        <v>0</v>
      </c>
      <c r="S11" s="6" t="s">
        <v>0</v>
      </c>
      <c r="T11" s="6" t="s">
        <v>0</v>
      </c>
      <c r="U11" s="45" t="s">
        <v>0</v>
      </c>
      <c r="V11" s="34"/>
      <c r="W11" s="34"/>
      <c r="X11" s="1"/>
    </row>
    <row r="12" spans="2:24" x14ac:dyDescent="0.25">
      <c r="B12" s="52" t="s">
        <v>1</v>
      </c>
      <c r="C12" s="34"/>
      <c r="D12" s="34"/>
      <c r="E12" s="34"/>
      <c r="F12" s="34"/>
      <c r="G12" s="34"/>
      <c r="H12" s="6" t="s">
        <v>0</v>
      </c>
      <c r="I12" s="6" t="s">
        <v>0</v>
      </c>
      <c r="J12" s="6" t="s">
        <v>0</v>
      </c>
      <c r="K12" s="6" t="s">
        <v>0</v>
      </c>
      <c r="L12" s="6" t="s">
        <v>0</v>
      </c>
      <c r="M12" s="6" t="s">
        <v>0</v>
      </c>
      <c r="N12" s="6" t="s">
        <v>0</v>
      </c>
      <c r="O12" s="6" t="s">
        <v>0</v>
      </c>
      <c r="P12" s="6" t="s">
        <v>0</v>
      </c>
      <c r="Q12" s="6" t="s">
        <v>0</v>
      </c>
      <c r="R12" s="6" t="s">
        <v>0</v>
      </c>
      <c r="S12" s="6" t="s">
        <v>0</v>
      </c>
      <c r="T12" s="6" t="s">
        <v>0</v>
      </c>
      <c r="U12" s="45" t="s">
        <v>0</v>
      </c>
      <c r="V12" s="34"/>
      <c r="W12" s="34"/>
      <c r="X12" s="1"/>
    </row>
    <row r="13" spans="2:24" ht="22.5" x14ac:dyDescent="0.25">
      <c r="B13" s="4" t="s">
        <v>5</v>
      </c>
      <c r="C13" s="7" t="s">
        <v>6</v>
      </c>
      <c r="D13" s="7" t="s">
        <v>7</v>
      </c>
      <c r="E13" s="7" t="s">
        <v>8</v>
      </c>
      <c r="F13" s="7" t="s">
        <v>9</v>
      </c>
      <c r="G13" s="7" t="s">
        <v>10</v>
      </c>
      <c r="H13" s="7" t="s">
        <v>11</v>
      </c>
      <c r="I13" s="7" t="s">
        <v>12</v>
      </c>
      <c r="J13" s="7" t="s">
        <v>13</v>
      </c>
      <c r="K13" s="7" t="s">
        <v>14</v>
      </c>
      <c r="L13" s="7" t="s">
        <v>15</v>
      </c>
      <c r="M13" s="7" t="s">
        <v>16</v>
      </c>
      <c r="N13" s="7" t="s">
        <v>17</v>
      </c>
      <c r="O13" s="7" t="s">
        <v>18</v>
      </c>
      <c r="P13" s="7" t="s">
        <v>2</v>
      </c>
      <c r="Q13" s="8" t="s">
        <v>19</v>
      </c>
      <c r="R13" s="8" t="s">
        <v>20</v>
      </c>
      <c r="S13" s="8" t="s">
        <v>21</v>
      </c>
      <c r="T13" s="8" t="s">
        <v>22</v>
      </c>
      <c r="U13" s="53" t="s">
        <v>23</v>
      </c>
      <c r="V13" s="34"/>
      <c r="W13" s="34"/>
      <c r="X13" s="1"/>
    </row>
    <row r="14" spans="2:24" ht="31.5" x14ac:dyDescent="0.25">
      <c r="B14" s="9">
        <v>1</v>
      </c>
      <c r="C14" s="10" t="s">
        <v>24</v>
      </c>
      <c r="D14" s="9" t="s">
        <v>25</v>
      </c>
      <c r="E14" s="11">
        <v>2</v>
      </c>
      <c r="F14" s="12">
        <v>45597.416666666664</v>
      </c>
      <c r="G14" s="11">
        <v>92.5</v>
      </c>
      <c r="H14" s="12">
        <v>45597.416678240741</v>
      </c>
      <c r="I14" s="11">
        <v>128.19999999999999</v>
      </c>
      <c r="J14" s="9" t="s">
        <v>26</v>
      </c>
      <c r="K14" s="9" t="s">
        <v>26</v>
      </c>
      <c r="L14" s="13">
        <v>185</v>
      </c>
      <c r="M14" s="13">
        <v>256.39999999999998</v>
      </c>
      <c r="N14" s="9"/>
      <c r="O14" s="9"/>
      <c r="P14" s="9"/>
      <c r="Q14" s="14">
        <v>0</v>
      </c>
      <c r="R14" s="14">
        <v>0</v>
      </c>
      <c r="S14" s="14">
        <v>0</v>
      </c>
      <c r="T14" s="15">
        <v>71.400000000000006</v>
      </c>
      <c r="U14" s="48" t="s">
        <v>0</v>
      </c>
      <c r="V14" s="49"/>
      <c r="W14" s="49"/>
      <c r="X14" s="1"/>
    </row>
    <row r="15" spans="2:24" ht="31.5" x14ac:dyDescent="0.25">
      <c r="B15" s="16">
        <v>2</v>
      </c>
      <c r="C15" s="17" t="s">
        <v>27</v>
      </c>
      <c r="D15" s="16" t="s">
        <v>25</v>
      </c>
      <c r="E15" s="18">
        <v>4</v>
      </c>
      <c r="F15" s="12">
        <v>45598.416666608799</v>
      </c>
      <c r="G15" s="18">
        <v>50.23</v>
      </c>
      <c r="H15" s="12">
        <v>45598.416678240741</v>
      </c>
      <c r="I15" s="18">
        <v>51.26</v>
      </c>
      <c r="J15" s="16" t="s">
        <v>26</v>
      </c>
      <c r="K15" s="16" t="s">
        <v>26</v>
      </c>
      <c r="L15" s="19">
        <v>200.92</v>
      </c>
      <c r="M15" s="19">
        <v>205.04</v>
      </c>
      <c r="N15" s="16"/>
      <c r="O15" s="16"/>
      <c r="P15" s="16"/>
      <c r="Q15" s="20">
        <v>0</v>
      </c>
      <c r="R15" s="20">
        <v>0</v>
      </c>
      <c r="S15" s="20">
        <v>0</v>
      </c>
      <c r="T15" s="21">
        <v>4.12</v>
      </c>
      <c r="U15" s="50" t="s">
        <v>0</v>
      </c>
      <c r="V15" s="49"/>
      <c r="W15" s="49"/>
      <c r="X15" s="1"/>
    </row>
    <row r="16" spans="2:24" ht="31.5" x14ac:dyDescent="0.25">
      <c r="B16" s="9">
        <v>3</v>
      </c>
      <c r="C16" s="10" t="s">
        <v>28</v>
      </c>
      <c r="D16" s="9" t="s">
        <v>25</v>
      </c>
      <c r="E16" s="11">
        <v>1</v>
      </c>
      <c r="F16" s="12">
        <v>45599.416666608799</v>
      </c>
      <c r="G16" s="11">
        <v>202.75</v>
      </c>
      <c r="H16" s="12">
        <v>45599.416678240741</v>
      </c>
      <c r="I16" s="11">
        <v>202.15</v>
      </c>
      <c r="J16" s="9" t="s">
        <v>26</v>
      </c>
      <c r="K16" s="9" t="s">
        <v>26</v>
      </c>
      <c r="L16" s="13">
        <v>202.75</v>
      </c>
      <c r="M16" s="13">
        <v>202.15</v>
      </c>
      <c r="N16" s="9"/>
      <c r="O16" s="9"/>
      <c r="P16" s="9"/>
      <c r="Q16" s="14">
        <v>0</v>
      </c>
      <c r="R16" s="14">
        <v>0</v>
      </c>
      <c r="S16" s="14">
        <v>0</v>
      </c>
      <c r="T16" s="22">
        <v>-0.6</v>
      </c>
      <c r="U16" s="48" t="s">
        <v>0</v>
      </c>
      <c r="V16" s="49"/>
      <c r="W16" s="49"/>
      <c r="X16" s="1"/>
    </row>
    <row r="17" spans="2:23" ht="31.5" x14ac:dyDescent="0.25">
      <c r="B17" s="16">
        <v>4</v>
      </c>
      <c r="C17" s="17" t="s">
        <v>29</v>
      </c>
      <c r="D17" s="16" t="s">
        <v>25</v>
      </c>
      <c r="E17" s="18">
        <v>2</v>
      </c>
      <c r="F17" s="12">
        <v>45600.416666608799</v>
      </c>
      <c r="G17" s="18">
        <v>100.16</v>
      </c>
      <c r="H17" s="12">
        <v>45600.416678240741</v>
      </c>
      <c r="I17" s="18">
        <v>85.16</v>
      </c>
      <c r="J17" s="16" t="s">
        <v>26</v>
      </c>
      <c r="K17" s="16" t="s">
        <v>26</v>
      </c>
      <c r="L17" s="19">
        <v>200.32</v>
      </c>
      <c r="M17" s="19">
        <v>170.32</v>
      </c>
      <c r="N17" s="16"/>
      <c r="O17" s="16"/>
      <c r="P17" s="16"/>
      <c r="Q17" s="20">
        <v>0</v>
      </c>
      <c r="R17" s="20">
        <v>0</v>
      </c>
      <c r="S17" s="20">
        <v>0</v>
      </c>
      <c r="T17" s="23">
        <v>-30</v>
      </c>
      <c r="U17" s="50" t="s">
        <v>0</v>
      </c>
      <c r="V17" s="49"/>
      <c r="W17" s="49"/>
    </row>
    <row r="18" spans="2:23" ht="31.5" x14ac:dyDescent="0.25">
      <c r="B18" s="9">
        <v>5</v>
      </c>
      <c r="C18" s="10" t="s">
        <v>29</v>
      </c>
      <c r="D18" s="9" t="s">
        <v>25</v>
      </c>
      <c r="E18" s="11">
        <v>3</v>
      </c>
      <c r="F18" s="12">
        <v>45601.416666608799</v>
      </c>
      <c r="G18" s="11">
        <v>99.45</v>
      </c>
      <c r="H18" s="12">
        <v>45601.416678240741</v>
      </c>
      <c r="I18" s="11">
        <v>85.16</v>
      </c>
      <c r="J18" s="9" t="s">
        <v>26</v>
      </c>
      <c r="K18" s="9" t="s">
        <v>26</v>
      </c>
      <c r="L18" s="13">
        <v>298.35000000000002</v>
      </c>
      <c r="M18" s="13">
        <v>255.48</v>
      </c>
      <c r="N18" s="9"/>
      <c r="O18" s="9"/>
      <c r="P18" s="9"/>
      <c r="Q18" s="14">
        <v>0</v>
      </c>
      <c r="R18" s="14">
        <v>0</v>
      </c>
      <c r="S18" s="14">
        <v>0</v>
      </c>
      <c r="T18" s="22">
        <v>-42.87</v>
      </c>
      <c r="U18" s="48" t="s">
        <v>0</v>
      </c>
      <c r="V18" s="49"/>
      <c r="W18" s="49"/>
    </row>
    <row r="19" spans="2:23" ht="31.5" x14ac:dyDescent="0.25">
      <c r="B19" s="16">
        <v>6</v>
      </c>
      <c r="C19" s="17" t="s">
        <v>31</v>
      </c>
      <c r="D19" s="16" t="s">
        <v>25</v>
      </c>
      <c r="E19" s="18">
        <v>10</v>
      </c>
      <c r="F19" s="12">
        <v>45602.416666608799</v>
      </c>
      <c r="G19" s="18">
        <v>30.575399999999998</v>
      </c>
      <c r="H19" s="12">
        <v>45602.416678240741</v>
      </c>
      <c r="I19" s="18">
        <v>50</v>
      </c>
      <c r="J19" s="9" t="s">
        <v>26</v>
      </c>
      <c r="K19" s="9" t="s">
        <v>26</v>
      </c>
      <c r="L19" s="19">
        <f>E19*G19</f>
        <v>305.75399999999996</v>
      </c>
      <c r="M19" s="19">
        <f>E19*I19</f>
        <v>500</v>
      </c>
      <c r="N19" s="16"/>
      <c r="O19" s="16"/>
      <c r="P19" s="16"/>
      <c r="Q19" s="20"/>
      <c r="R19" s="20"/>
      <c r="S19" s="20"/>
      <c r="T19" s="21">
        <f>M19-L19</f>
        <v>194.24600000000004</v>
      </c>
      <c r="U19" s="51" t="s">
        <v>0</v>
      </c>
      <c r="V19" s="34"/>
      <c r="W19" s="34"/>
    </row>
    <row r="20" spans="2:23" ht="31.5" x14ac:dyDescent="0.25">
      <c r="B20" s="9">
        <v>7</v>
      </c>
      <c r="C20" s="10" t="s">
        <v>33</v>
      </c>
      <c r="D20" s="9" t="s">
        <v>25</v>
      </c>
      <c r="E20" s="11">
        <v>1.8349</v>
      </c>
      <c r="F20" s="12">
        <v>45603.416666608799</v>
      </c>
      <c r="G20" s="11">
        <v>40</v>
      </c>
      <c r="H20" s="12">
        <v>45603.416678240741</v>
      </c>
      <c r="I20" s="11">
        <v>80</v>
      </c>
      <c r="J20" s="9" t="s">
        <v>26</v>
      </c>
      <c r="K20" s="9" t="s">
        <v>26</v>
      </c>
      <c r="L20" s="13">
        <f t="shared" ref="L20:L22" si="0">E20*G20</f>
        <v>73.396000000000001</v>
      </c>
      <c r="M20" s="13">
        <f t="shared" ref="M20:M21" si="1">E20*I20</f>
        <v>146.792</v>
      </c>
      <c r="N20" s="9"/>
      <c r="O20" s="9"/>
      <c r="P20" s="9"/>
      <c r="Q20" s="14"/>
      <c r="R20" s="14"/>
      <c r="S20" s="14"/>
      <c r="T20" s="21">
        <f t="shared" ref="T20:T21" si="2">M20-L20</f>
        <v>73.396000000000001</v>
      </c>
      <c r="U20" s="1"/>
      <c r="V20" s="1"/>
      <c r="W20" s="1"/>
    </row>
    <row r="21" spans="2:23" ht="31.5" x14ac:dyDescent="0.25">
      <c r="B21" s="16">
        <v>8</v>
      </c>
      <c r="C21" s="17" t="s">
        <v>32</v>
      </c>
      <c r="D21" s="16" t="s">
        <v>25</v>
      </c>
      <c r="E21" s="18">
        <v>15</v>
      </c>
      <c r="F21" s="12">
        <v>45604.416666608799</v>
      </c>
      <c r="G21" s="18">
        <v>50</v>
      </c>
      <c r="H21" s="12">
        <v>45604.416678240741</v>
      </c>
      <c r="I21" s="18">
        <v>10</v>
      </c>
      <c r="J21" s="9" t="s">
        <v>26</v>
      </c>
      <c r="K21" s="9" t="s">
        <v>26</v>
      </c>
      <c r="L21" s="19">
        <f t="shared" si="0"/>
        <v>750</v>
      </c>
      <c r="M21" s="19">
        <f t="shared" si="1"/>
        <v>150</v>
      </c>
      <c r="N21" s="16"/>
      <c r="O21" s="16"/>
      <c r="P21" s="16"/>
      <c r="Q21" s="20"/>
      <c r="R21" s="20"/>
      <c r="S21" s="20"/>
      <c r="T21" s="26">
        <f t="shared" si="2"/>
        <v>-600</v>
      </c>
    </row>
    <row r="22" spans="2:23" ht="31.5" x14ac:dyDescent="0.25">
      <c r="B22" s="9">
        <v>9</v>
      </c>
      <c r="C22" s="10" t="s">
        <v>34</v>
      </c>
      <c r="D22" s="9" t="s">
        <v>25</v>
      </c>
      <c r="E22" s="11">
        <v>0.77</v>
      </c>
      <c r="F22" s="12">
        <v>45605.416666608799</v>
      </c>
      <c r="G22" s="11">
        <v>130.35</v>
      </c>
      <c r="H22" s="12">
        <v>45605.416678240741</v>
      </c>
      <c r="I22" s="11">
        <v>159.80000000000001</v>
      </c>
      <c r="J22" s="9" t="s">
        <v>26</v>
      </c>
      <c r="K22" s="9" t="s">
        <v>26</v>
      </c>
      <c r="L22" s="13">
        <f t="shared" si="0"/>
        <v>100.3695</v>
      </c>
      <c r="M22" s="13">
        <v>123.05</v>
      </c>
      <c r="N22" s="9"/>
      <c r="O22" s="9"/>
      <c r="P22" s="9"/>
      <c r="Q22" s="14">
        <v>0</v>
      </c>
      <c r="R22" s="14">
        <v>0</v>
      </c>
      <c r="S22" s="14">
        <v>0</v>
      </c>
      <c r="T22" s="21">
        <v>22.68</v>
      </c>
    </row>
    <row r="23" spans="2:23" ht="31.5" x14ac:dyDescent="0.25">
      <c r="B23" s="16">
        <v>10</v>
      </c>
      <c r="C23" s="17" t="s">
        <v>34</v>
      </c>
      <c r="D23" s="16" t="s">
        <v>25</v>
      </c>
      <c r="E23" s="18">
        <v>1.23</v>
      </c>
      <c r="F23" s="12">
        <v>45606.416666608799</v>
      </c>
      <c r="G23" s="18">
        <v>130.35</v>
      </c>
      <c r="H23" s="12">
        <v>45606.416678240741</v>
      </c>
      <c r="I23" s="18">
        <v>159.80000000000001</v>
      </c>
      <c r="J23" s="9" t="s">
        <v>26</v>
      </c>
      <c r="K23" s="9" t="s">
        <v>26</v>
      </c>
      <c r="L23" s="19">
        <v>160.33000000000001</v>
      </c>
      <c r="M23" s="19">
        <v>196.55</v>
      </c>
      <c r="N23" s="16"/>
      <c r="O23" s="16"/>
      <c r="P23" s="16"/>
      <c r="Q23" s="20">
        <v>0</v>
      </c>
      <c r="R23" s="20">
        <v>0</v>
      </c>
      <c r="S23" s="20">
        <v>0</v>
      </c>
      <c r="T23" s="21">
        <v>36.22</v>
      </c>
    </row>
    <row r="25" spans="2:23" x14ac:dyDescent="0.25">
      <c r="B25" s="24" t="s">
        <v>30</v>
      </c>
      <c r="C25" s="24" t="s">
        <v>0</v>
      </c>
      <c r="D25" s="24" t="s">
        <v>0</v>
      </c>
      <c r="E25" s="24" t="s">
        <v>0</v>
      </c>
      <c r="F25" s="24" t="s">
        <v>0</v>
      </c>
      <c r="G25" s="24" t="s">
        <v>0</v>
      </c>
      <c r="H25" s="24" t="s">
        <v>0</v>
      </c>
      <c r="I25" s="24" t="s">
        <v>0</v>
      </c>
      <c r="J25" s="24" t="s">
        <v>0</v>
      </c>
      <c r="K25" s="24" t="s">
        <v>0</v>
      </c>
      <c r="L25" s="24" t="s">
        <v>0</v>
      </c>
      <c r="M25" s="24" t="s">
        <v>0</v>
      </c>
      <c r="N25" s="24" t="s">
        <v>0</v>
      </c>
      <c r="O25" s="24" t="s">
        <v>0</v>
      </c>
      <c r="P25" s="24" t="s">
        <v>0</v>
      </c>
      <c r="Q25" s="25">
        <v>0</v>
      </c>
      <c r="R25" s="25">
        <v>0</v>
      </c>
      <c r="S25" s="25">
        <v>0</v>
      </c>
      <c r="T25" s="27">
        <f>SUM(T14:T23)</f>
        <v>-271.4079999999999</v>
      </c>
    </row>
  </sheetData>
  <mergeCells count="35">
    <mergeCell ref="U16:W16"/>
    <mergeCell ref="U17:W17"/>
    <mergeCell ref="U18:W18"/>
    <mergeCell ref="U19:W19"/>
    <mergeCell ref="B12:G12"/>
    <mergeCell ref="U12:W12"/>
    <mergeCell ref="U13:W13"/>
    <mergeCell ref="U14:W14"/>
    <mergeCell ref="U15:W15"/>
    <mergeCell ref="U9:W9"/>
    <mergeCell ref="B10:G10"/>
    <mergeCell ref="U10:X10"/>
    <mergeCell ref="B11:E11"/>
    <mergeCell ref="U11:W11"/>
    <mergeCell ref="F9:H9"/>
    <mergeCell ref="I9:K9"/>
    <mergeCell ref="L9:N9"/>
    <mergeCell ref="O9:Q9"/>
    <mergeCell ref="R9:T9"/>
    <mergeCell ref="F7:H7"/>
    <mergeCell ref="I7:K7"/>
    <mergeCell ref="L7:N7"/>
    <mergeCell ref="U7:W7"/>
    <mergeCell ref="F8:H8"/>
    <mergeCell ref="I8:K8"/>
    <mergeCell ref="L8:N8"/>
    <mergeCell ref="O8:Q8"/>
    <mergeCell ref="R8:T8"/>
    <mergeCell ref="U8:W8"/>
    <mergeCell ref="V1:V2"/>
    <mergeCell ref="B2:B3"/>
    <mergeCell ref="F6:H6"/>
    <mergeCell ref="I6:K6"/>
    <mergeCell ref="L6:N6"/>
    <mergeCell ref="U6:W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A9AD0-EF6B-43F0-B05E-5472A2BEDAD1}">
  <dimension ref="B7:T33"/>
  <sheetViews>
    <sheetView workbookViewId="0">
      <selection activeCell="P7" sqref="P7"/>
    </sheetView>
  </sheetViews>
  <sheetFormatPr defaultRowHeight="15" x14ac:dyDescent="0.25"/>
  <cols>
    <col min="6" max="6" width="22.140625" customWidth="1"/>
    <col min="8" max="8" width="15.85546875" bestFit="1" customWidth="1"/>
    <col min="15" max="15" width="14.28515625" customWidth="1"/>
    <col min="16" max="16" width="15.7109375" customWidth="1"/>
    <col min="17" max="17" width="20.42578125" customWidth="1"/>
  </cols>
  <sheetData>
    <row r="7" spans="2:20" x14ac:dyDescent="0.25">
      <c r="P7">
        <f>SUM(P12:P19)</f>
        <v>1330</v>
      </c>
    </row>
    <row r="11" spans="2:20" ht="22.5" x14ac:dyDescent="0.25">
      <c r="B11" s="4" t="s">
        <v>5</v>
      </c>
      <c r="C11" s="7" t="s">
        <v>6</v>
      </c>
      <c r="D11" s="7" t="s">
        <v>7</v>
      </c>
      <c r="E11" s="7" t="s">
        <v>8</v>
      </c>
      <c r="F11" s="7" t="s">
        <v>9</v>
      </c>
      <c r="G11" s="7" t="s">
        <v>10</v>
      </c>
      <c r="H11" s="7" t="s">
        <v>69</v>
      </c>
      <c r="I11" s="7" t="s">
        <v>15</v>
      </c>
      <c r="J11" s="7" t="s">
        <v>17</v>
      </c>
      <c r="K11" s="7" t="s">
        <v>18</v>
      </c>
      <c r="L11" s="7" t="s">
        <v>2</v>
      </c>
      <c r="M11" s="8" t="s">
        <v>19</v>
      </c>
      <c r="N11" s="8" t="s">
        <v>20</v>
      </c>
      <c r="O11" s="8" t="s">
        <v>21</v>
      </c>
      <c r="P11" s="8" t="s">
        <v>22</v>
      </c>
      <c r="Q11" s="7" t="s">
        <v>23</v>
      </c>
    </row>
    <row r="12" spans="2:20" x14ac:dyDescent="0.25">
      <c r="B12" s="16">
        <v>1</v>
      </c>
      <c r="C12" s="17" t="s">
        <v>45</v>
      </c>
      <c r="D12" s="16" t="s">
        <v>25</v>
      </c>
      <c r="E12" s="18">
        <v>100</v>
      </c>
      <c r="F12" s="12">
        <v>45324.489583333336</v>
      </c>
      <c r="G12" s="18">
        <v>50</v>
      </c>
      <c r="H12" s="30">
        <v>62</v>
      </c>
      <c r="I12" s="18">
        <v>5000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1200</v>
      </c>
    </row>
    <row r="13" spans="2:20" x14ac:dyDescent="0.25">
      <c r="B13" s="9">
        <v>2</v>
      </c>
      <c r="C13" s="10" t="s">
        <v>47</v>
      </c>
      <c r="D13" s="9" t="s">
        <v>25</v>
      </c>
      <c r="E13" s="11">
        <v>200</v>
      </c>
      <c r="F13" s="12">
        <v>45332.555555555555</v>
      </c>
      <c r="G13" s="11">
        <v>15</v>
      </c>
      <c r="H13" s="30">
        <v>14.7</v>
      </c>
      <c r="I13" s="11">
        <v>3000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-60</v>
      </c>
    </row>
    <row r="14" spans="2:20" x14ac:dyDescent="0.25">
      <c r="B14" s="16">
        <v>3</v>
      </c>
      <c r="C14" s="17" t="s">
        <v>70</v>
      </c>
      <c r="D14" s="16" t="s">
        <v>25</v>
      </c>
      <c r="E14" s="18">
        <v>20</v>
      </c>
      <c r="F14" s="12">
        <v>45352.375</v>
      </c>
      <c r="G14" s="18">
        <v>180</v>
      </c>
      <c r="H14" s="30">
        <v>192</v>
      </c>
      <c r="I14" s="18">
        <v>3600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240</v>
      </c>
    </row>
    <row r="15" spans="2:20" x14ac:dyDescent="0.25">
      <c r="B15" s="9">
        <v>4</v>
      </c>
      <c r="C15" s="10" t="s">
        <v>71</v>
      </c>
      <c r="D15" s="9" t="s">
        <v>25</v>
      </c>
      <c r="E15" s="11">
        <v>10000</v>
      </c>
      <c r="F15" s="12">
        <v>45366.333333333336</v>
      </c>
      <c r="G15" s="11">
        <v>4.12</v>
      </c>
      <c r="H15" s="30">
        <v>4.05</v>
      </c>
      <c r="I15" s="11">
        <v>41200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-700</v>
      </c>
      <c r="T15">
        <f>(G15-H15)*E15</f>
        <v>700.00000000000284</v>
      </c>
    </row>
    <row r="16" spans="2:20" x14ac:dyDescent="0.25">
      <c r="B16" s="16">
        <v>5</v>
      </c>
      <c r="C16" s="17" t="s">
        <v>72</v>
      </c>
      <c r="D16" s="16" t="s">
        <v>25</v>
      </c>
      <c r="E16" s="18">
        <v>1</v>
      </c>
      <c r="F16" s="12">
        <v>45392.4375</v>
      </c>
      <c r="G16" s="18">
        <v>18000</v>
      </c>
      <c r="H16" s="30">
        <v>18150</v>
      </c>
      <c r="I16" s="18">
        <v>18000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150</v>
      </c>
    </row>
    <row r="17" spans="2:16" x14ac:dyDescent="0.25">
      <c r="B17" s="9">
        <v>6</v>
      </c>
      <c r="C17" s="10" t="s">
        <v>73</v>
      </c>
      <c r="D17" s="9" t="s">
        <v>25</v>
      </c>
      <c r="E17" s="11">
        <v>0.2</v>
      </c>
      <c r="F17" s="12">
        <v>45413.5</v>
      </c>
      <c r="G17" s="11">
        <v>62000</v>
      </c>
      <c r="H17" s="30">
        <v>65500</v>
      </c>
      <c r="I17" s="11">
        <v>12400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700</v>
      </c>
    </row>
    <row r="18" spans="2:16" x14ac:dyDescent="0.25">
      <c r="B18" s="16">
        <v>7</v>
      </c>
      <c r="C18" s="17" t="s">
        <v>74</v>
      </c>
      <c r="D18" s="16" t="s">
        <v>25</v>
      </c>
      <c r="E18" s="18">
        <v>150</v>
      </c>
      <c r="F18" s="12">
        <v>45448.631944444445</v>
      </c>
      <c r="G18" s="18">
        <v>68</v>
      </c>
      <c r="H18" s="30">
        <v>65.5</v>
      </c>
      <c r="I18" s="18">
        <v>10200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-375</v>
      </c>
    </row>
    <row r="19" spans="2:16" x14ac:dyDescent="0.25">
      <c r="B19" s="9">
        <v>8</v>
      </c>
      <c r="C19" s="10" t="s">
        <v>75</v>
      </c>
      <c r="D19" s="9" t="s">
        <v>25</v>
      </c>
      <c r="E19" s="11">
        <v>5000</v>
      </c>
      <c r="F19" s="12">
        <v>45474.388888888891</v>
      </c>
      <c r="G19" s="11">
        <v>1.08</v>
      </c>
      <c r="H19" s="30">
        <v>1.0834999999999999</v>
      </c>
      <c r="I19" s="11">
        <v>5400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175</v>
      </c>
    </row>
    <row r="26" spans="2:16" x14ac:dyDescent="0.25">
      <c r="I26" s="31"/>
    </row>
    <row r="27" spans="2:16" x14ac:dyDescent="0.25">
      <c r="I27" s="31"/>
    </row>
    <row r="28" spans="2:16" x14ac:dyDescent="0.25">
      <c r="I28" s="31"/>
    </row>
    <row r="29" spans="2:16" x14ac:dyDescent="0.25">
      <c r="I29" s="31"/>
    </row>
    <row r="30" spans="2:16" x14ac:dyDescent="0.25">
      <c r="I30" s="31"/>
    </row>
    <row r="31" spans="2:16" x14ac:dyDescent="0.25">
      <c r="I31" s="31"/>
    </row>
    <row r="32" spans="2:16" x14ac:dyDescent="0.25">
      <c r="I32" s="31"/>
    </row>
    <row r="33" spans="9:9" x14ac:dyDescent="0.25">
      <c r="I33" s="3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B6B18-C165-4470-9EBB-94EA8520F42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74FF5-456E-48C8-B2D2-F37D01749490}">
  <dimension ref="B12:M27"/>
  <sheetViews>
    <sheetView tabSelected="1" topLeftCell="A10" workbookViewId="0">
      <selection activeCell="M18" sqref="M18"/>
    </sheetView>
  </sheetViews>
  <sheetFormatPr defaultRowHeight="15" x14ac:dyDescent="0.25"/>
  <cols>
    <col min="2" max="7" width="20.28515625" customWidth="1"/>
  </cols>
  <sheetData>
    <row r="12" spans="2:12" x14ac:dyDescent="0.25">
      <c r="B12" s="16" t="s">
        <v>35</v>
      </c>
      <c r="C12" s="17" t="s">
        <v>7</v>
      </c>
      <c r="D12" s="16" t="s">
        <v>36</v>
      </c>
      <c r="E12" s="18" t="s">
        <v>23</v>
      </c>
      <c r="F12" s="12" t="s">
        <v>6</v>
      </c>
      <c r="G12" s="18" t="s">
        <v>37</v>
      </c>
      <c r="K12" t="s">
        <v>68</v>
      </c>
      <c r="L12" s="54">
        <f>G13+G14+G26+G23+G24</f>
        <v>8500</v>
      </c>
    </row>
    <row r="13" spans="2:12" x14ac:dyDescent="0.25">
      <c r="B13" s="9">
        <v>1</v>
      </c>
      <c r="C13" s="10" t="s">
        <v>38</v>
      </c>
      <c r="D13" s="32">
        <v>45296.397222222222</v>
      </c>
      <c r="E13" s="11" t="s">
        <v>39</v>
      </c>
      <c r="F13" s="12" t="s">
        <v>40</v>
      </c>
      <c r="G13" s="30">
        <v>16000</v>
      </c>
    </row>
    <row r="14" spans="2:12" x14ac:dyDescent="0.25">
      <c r="B14" s="16">
        <v>2</v>
      </c>
      <c r="C14" s="17" t="s">
        <v>41</v>
      </c>
      <c r="D14" s="33">
        <v>45323.423611111109</v>
      </c>
      <c r="E14" s="18" t="s">
        <v>42</v>
      </c>
      <c r="F14" s="12" t="s">
        <v>40</v>
      </c>
      <c r="G14" s="29">
        <v>-6000</v>
      </c>
    </row>
    <row r="15" spans="2:12" x14ac:dyDescent="0.25">
      <c r="B15" s="9">
        <v>3</v>
      </c>
      <c r="C15" s="10" t="s">
        <v>43</v>
      </c>
      <c r="D15" s="32">
        <v>45324.489583333336</v>
      </c>
      <c r="E15" s="11" t="s">
        <v>44</v>
      </c>
      <c r="F15" s="12" t="s">
        <v>34</v>
      </c>
      <c r="G15" s="30">
        <v>-5000</v>
      </c>
      <c r="K15" t="s">
        <v>76</v>
      </c>
      <c r="L15" s="54">
        <f>G19+G20</f>
        <v>12.309999999999999</v>
      </c>
    </row>
    <row r="16" spans="2:12" x14ac:dyDescent="0.25">
      <c r="B16" s="16">
        <v>4</v>
      </c>
      <c r="C16" s="17" t="s">
        <v>43</v>
      </c>
      <c r="D16" s="33">
        <v>45332.555555555555</v>
      </c>
      <c r="E16" s="18" t="s">
        <v>46</v>
      </c>
      <c r="F16" s="12" t="s">
        <v>67</v>
      </c>
      <c r="G16" s="29">
        <v>-3000</v>
      </c>
    </row>
    <row r="17" spans="2:13" x14ac:dyDescent="0.25">
      <c r="B17" s="9">
        <v>5</v>
      </c>
      <c r="C17" s="10" t="s">
        <v>48</v>
      </c>
      <c r="D17" s="32">
        <v>45366.333333333336</v>
      </c>
      <c r="E17" s="11" t="s">
        <v>49</v>
      </c>
      <c r="F17" s="12" t="s">
        <v>67</v>
      </c>
      <c r="G17" s="30">
        <v>250</v>
      </c>
    </row>
    <row r="18" spans="2:13" x14ac:dyDescent="0.25">
      <c r="B18" s="16">
        <v>6</v>
      </c>
      <c r="C18" s="17" t="s">
        <v>50</v>
      </c>
      <c r="D18" s="33">
        <v>45366.334027777775</v>
      </c>
      <c r="E18" s="18" t="s">
        <v>51</v>
      </c>
      <c r="F18" s="12" t="s">
        <v>67</v>
      </c>
      <c r="G18" s="29">
        <v>-47.5</v>
      </c>
      <c r="K18" t="s">
        <v>77</v>
      </c>
      <c r="M18" s="54">
        <f>G17+G18</f>
        <v>202.5</v>
      </c>
    </row>
    <row r="19" spans="2:13" ht="21" x14ac:dyDescent="0.25">
      <c r="B19" s="9">
        <v>7</v>
      </c>
      <c r="C19" s="10" t="s">
        <v>52</v>
      </c>
      <c r="D19" s="32">
        <v>45382.999305555553</v>
      </c>
      <c r="E19" s="11" t="s">
        <v>53</v>
      </c>
      <c r="F19" s="12" t="s">
        <v>40</v>
      </c>
      <c r="G19" s="30">
        <v>15.2</v>
      </c>
    </row>
    <row r="20" spans="2:13" ht="21" x14ac:dyDescent="0.25">
      <c r="B20" s="16">
        <v>8</v>
      </c>
      <c r="C20" s="17" t="s">
        <v>54</v>
      </c>
      <c r="D20" s="33">
        <v>45382.999305555553</v>
      </c>
      <c r="E20" s="18" t="s">
        <v>55</v>
      </c>
      <c r="F20" s="12" t="s">
        <v>40</v>
      </c>
      <c r="G20" s="29">
        <v>-2.89</v>
      </c>
    </row>
    <row r="21" spans="2:13" x14ac:dyDescent="0.25">
      <c r="B21" s="9">
        <v>9</v>
      </c>
      <c r="C21" s="10" t="s">
        <v>56</v>
      </c>
      <c r="D21" s="32">
        <v>45402.604166666664</v>
      </c>
      <c r="E21" s="11" t="s">
        <v>57</v>
      </c>
      <c r="F21" s="12" t="s">
        <v>34</v>
      </c>
      <c r="G21" s="30">
        <v>6200</v>
      </c>
    </row>
    <row r="22" spans="2:13" x14ac:dyDescent="0.25">
      <c r="B22" s="16">
        <v>10</v>
      </c>
      <c r="C22" s="17" t="s">
        <v>58</v>
      </c>
      <c r="D22" s="33">
        <v>45402.604861111111</v>
      </c>
      <c r="E22" s="18" t="s">
        <v>59</v>
      </c>
      <c r="F22" s="12" t="s">
        <v>34</v>
      </c>
      <c r="G22" s="29">
        <v>1200</v>
      </c>
    </row>
    <row r="23" spans="2:13" ht="21" x14ac:dyDescent="0.25">
      <c r="B23" s="9">
        <v>11</v>
      </c>
      <c r="C23" s="10" t="s">
        <v>60</v>
      </c>
      <c r="D23" s="32">
        <v>45413.375</v>
      </c>
      <c r="E23" s="11" t="s">
        <v>61</v>
      </c>
      <c r="F23" s="12" t="s">
        <v>40</v>
      </c>
      <c r="G23" s="30">
        <v>-2000</v>
      </c>
    </row>
    <row r="24" spans="2:13" ht="21" x14ac:dyDescent="0.25">
      <c r="B24" s="16">
        <v>12</v>
      </c>
      <c r="C24" s="17" t="s">
        <v>60</v>
      </c>
      <c r="D24" s="33">
        <v>45413.375</v>
      </c>
      <c r="E24" s="18" t="s">
        <v>62</v>
      </c>
      <c r="F24" s="12" t="s">
        <v>40</v>
      </c>
      <c r="G24" s="29">
        <v>2000</v>
      </c>
    </row>
    <row r="25" spans="2:13" ht="21" x14ac:dyDescent="0.25">
      <c r="B25" s="9">
        <v>13</v>
      </c>
      <c r="C25" s="10" t="s">
        <v>63</v>
      </c>
      <c r="D25" s="32">
        <v>45414.416666666664</v>
      </c>
      <c r="E25" s="11" t="s">
        <v>64</v>
      </c>
      <c r="F25" s="12" t="s">
        <v>40</v>
      </c>
      <c r="G25" s="30">
        <v>-180</v>
      </c>
    </row>
    <row r="26" spans="2:13" ht="55.5" customHeight="1" x14ac:dyDescent="0.25">
      <c r="B26" s="16">
        <v>14</v>
      </c>
      <c r="C26" s="17" t="s">
        <v>65</v>
      </c>
      <c r="D26" s="33">
        <v>45453.5</v>
      </c>
      <c r="E26" s="18" t="s">
        <v>66</v>
      </c>
      <c r="F26" s="12" t="s">
        <v>40</v>
      </c>
      <c r="G26" s="29">
        <v>-1500</v>
      </c>
    </row>
    <row r="27" spans="2:13" x14ac:dyDescent="0.25">
      <c r="G27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CLOSED POSITION HISTORY</vt:lpstr>
      <vt:lpstr>OPEN POSITION </vt:lpstr>
      <vt:lpstr>PENDING ORDERS HISTORY</vt:lpstr>
      <vt:lpstr>CASH OPERATION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kolodziej</dc:creator>
  <cp:lastModifiedBy>jan kolodziej</cp:lastModifiedBy>
  <dcterms:created xsi:type="dcterms:W3CDTF">2025-11-01T12:41:01Z</dcterms:created>
  <dcterms:modified xsi:type="dcterms:W3CDTF">2025-11-12T12:00:46Z</dcterms:modified>
</cp:coreProperties>
</file>